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art\Documents\가톨릭대학교\자유주제연구\"/>
    </mc:Choice>
  </mc:AlternateContent>
  <xr:revisionPtr revIDLastSave="0" documentId="13_ncr:1_{7FF3E238-B4C4-4A3D-B31B-03D36F2CB004}" xr6:coauthVersionLast="47" xr6:coauthVersionMax="47" xr10:uidLastSave="{00000000-0000-0000-0000-000000000000}"/>
  <bookViews>
    <workbookView xWindow="770" yWindow="940" windowWidth="16940" windowHeight="9620" xr2:uid="{0EA546E3-6824-4D5F-BF37-598D3A4BAFC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5" i="1" l="1"/>
  <c r="M15" i="1"/>
  <c r="K15" i="1"/>
  <c r="I15" i="1"/>
  <c r="G15" i="1"/>
  <c r="E15" i="1"/>
  <c r="H12" i="1"/>
  <c r="J12" i="1"/>
  <c r="F12" i="1"/>
  <c r="F9" i="1"/>
  <c r="H9" i="1"/>
  <c r="J9" i="1"/>
  <c r="L9" i="1"/>
  <c r="D9" i="1"/>
  <c r="F6" i="1"/>
  <c r="H6" i="1"/>
  <c r="J6" i="1"/>
  <c r="L6" i="1"/>
  <c r="N6" i="1"/>
  <c r="D6" i="1"/>
</calcChain>
</file>

<file path=xl/sharedStrings.xml><?xml version="1.0" encoding="utf-8"?>
<sst xmlns="http://schemas.openxmlformats.org/spreadsheetml/2006/main" count="29" uniqueCount="9">
  <si>
    <t>max</t>
    <phoneticPr fontId="2" type="noConversion"/>
  </si>
  <si>
    <t>voxel_resolution (cm)</t>
    <phoneticPr fontId="2" type="noConversion"/>
  </si>
  <si>
    <t>completed_iterations</t>
    <phoneticPr fontId="2" type="noConversion"/>
  </si>
  <si>
    <t>각 영역 평균</t>
    <phoneticPr fontId="2" type="noConversion"/>
  </si>
  <si>
    <t>* 초(s) 기준</t>
    <phoneticPr fontId="2" type="noConversion"/>
  </si>
  <si>
    <t>-</t>
    <phoneticPr fontId="2" type="noConversion"/>
  </si>
  <si>
    <t>측정 X</t>
    <phoneticPr fontId="2" type="noConversion"/>
  </si>
  <si>
    <t>반복</t>
    <phoneticPr fontId="2" type="noConversion"/>
  </si>
  <si>
    <t>각 resolution에서 반복 가능한 최대 분기 횟수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</si>
</sst>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3F3F3F"/>
      </left>
      <right/>
      <top style="thin">
        <color indexed="64"/>
      </top>
      <bottom/>
      <diagonal/>
    </border>
    <border>
      <left style="thin">
        <color rgb="FF3F3F3F"/>
      </left>
      <right/>
      <top/>
      <bottom/>
      <diagonal/>
    </border>
    <border>
      <left style="thin">
        <color rgb="FF3F3F3F"/>
      </left>
      <right/>
      <top/>
      <bottom style="thin">
        <color rgb="FF3F3F3F"/>
      </bottom>
      <diagonal/>
    </border>
    <border>
      <left style="thin">
        <color rgb="FF3F3F3F"/>
      </left>
      <right style="thin">
        <color indexed="64"/>
      </right>
      <top style="thin">
        <color rgb="FF3F3F3F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3F3F3F"/>
      </right>
      <top style="thin">
        <color rgb="FF3F3F3F"/>
      </top>
      <bottom style="thin">
        <color indexed="64"/>
      </bottom>
      <diagonal/>
    </border>
    <border>
      <left style="thin">
        <color rgb="FF3F3F3F"/>
      </left>
      <right style="thin">
        <color indexed="64"/>
      </right>
      <top style="thin">
        <color rgb="FF3F3F3F"/>
      </top>
      <bottom style="thin">
        <color indexed="64"/>
      </bottom>
      <diagonal/>
    </border>
    <border>
      <left/>
      <right style="thin">
        <color rgb="FF3F3F3F"/>
      </right>
      <top style="thin">
        <color rgb="FF3F3F3F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indexed="64"/>
      </right>
      <top/>
      <bottom/>
      <diagonal/>
    </border>
    <border>
      <left style="thin">
        <color rgb="FF3F3F3F"/>
      </left>
      <right style="thin">
        <color indexed="64"/>
      </right>
      <top/>
      <bottom style="thin">
        <color rgb="FF3F3F3F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2" borderId="1" applyNumberFormat="0" applyAlignment="0" applyProtection="0">
      <alignment vertical="center"/>
    </xf>
  </cellStyleXfs>
  <cellXfs count="43"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9" xfId="0" applyBorder="1">
      <alignment vertical="center"/>
    </xf>
    <xf numFmtId="0" fontId="0" fillId="0" borderId="22" xfId="0" applyBorder="1">
      <alignment vertical="center"/>
    </xf>
    <xf numFmtId="176" fontId="0" fillId="0" borderId="3" xfId="0" applyNumberFormat="1" applyBorder="1">
      <alignment vertical="center"/>
    </xf>
    <xf numFmtId="0" fontId="1" fillId="2" borderId="1" xfId="1" applyAlignment="1">
      <alignment horizontal="center" vertical="center"/>
    </xf>
    <xf numFmtId="0" fontId="1" fillId="2" borderId="8" xfId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17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2" borderId="21" xfId="1" applyBorder="1" applyAlignment="1">
      <alignment horizontal="center" vertical="center"/>
    </xf>
    <xf numFmtId="0" fontId="1" fillId="2" borderId="18" xfId="1" applyBorder="1" applyAlignment="1">
      <alignment horizontal="center" vertical="center"/>
    </xf>
    <xf numFmtId="0" fontId="1" fillId="2" borderId="19" xfId="1" applyBorder="1" applyAlignment="1">
      <alignment horizontal="center" vertical="center"/>
    </xf>
    <xf numFmtId="0" fontId="1" fillId="2" borderId="20" xfId="1" applyBorder="1" applyAlignment="1">
      <alignment horizontal="center" vertical="center"/>
    </xf>
    <xf numFmtId="0" fontId="0" fillId="0" borderId="0" xfId="0" applyBorder="1">
      <alignment vertical="center"/>
    </xf>
    <xf numFmtId="0" fontId="0" fillId="3" borderId="23" xfId="0" applyFill="1" applyBorder="1">
      <alignment vertical="center"/>
    </xf>
    <xf numFmtId="0" fontId="0" fillId="3" borderId="24" xfId="0" applyFill="1" applyBorder="1">
      <alignment vertical="center"/>
    </xf>
    <xf numFmtId="0" fontId="0" fillId="3" borderId="2" xfId="0" applyFill="1" applyBorder="1">
      <alignment vertical="center"/>
    </xf>
    <xf numFmtId="0" fontId="1" fillId="2" borderId="25" xfId="1" applyBorder="1" applyAlignment="1">
      <alignment horizontal="center" vertical="center"/>
    </xf>
    <xf numFmtId="0" fontId="1" fillId="2" borderId="26" xfId="1" applyBorder="1" applyAlignment="1">
      <alignment horizontal="center" vertical="center"/>
    </xf>
    <xf numFmtId="0" fontId="1" fillId="2" borderId="27" xfId="1" applyBorder="1" applyAlignment="1">
      <alignment horizontal="center" vertical="center"/>
    </xf>
    <xf numFmtId="176" fontId="0" fillId="0" borderId="28" xfId="0" applyNumberForma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176" fontId="0" fillId="0" borderId="29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30" xfId="1" applyBorder="1" applyAlignment="1">
      <alignment horizontal="center" vertical="center"/>
    </xf>
    <xf numFmtId="0" fontId="1" fillId="2" borderId="31" xfId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2" xfId="0" applyBorder="1">
      <alignment vertical="center"/>
    </xf>
  </cellXfs>
  <cellStyles count="2">
    <cellStyle name="출력" xfId="1" builtinId="2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D1733-A8AA-4B3B-B377-727E7CEFC71B}">
  <dimension ref="B2:T15"/>
  <sheetViews>
    <sheetView tabSelected="1" zoomScale="55" zoomScaleNormal="55" workbookViewId="0"/>
  </sheetViews>
  <sheetFormatPr defaultRowHeight="17" x14ac:dyDescent="0.45"/>
  <cols>
    <col min="13" max="13" width="9.58203125" bestFit="1" customWidth="1"/>
    <col min="15" max="15" width="9.58203125" bestFit="1" customWidth="1"/>
    <col min="17" max="17" width="3.25" customWidth="1"/>
    <col min="19" max="19" width="40.5" customWidth="1"/>
    <col min="20" max="20" width="3.83203125" customWidth="1"/>
  </cols>
  <sheetData>
    <row r="2" spans="2:20" x14ac:dyDescent="0.45">
      <c r="B2" s="1"/>
      <c r="C2" s="1"/>
      <c r="D2" s="13" t="s">
        <v>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spans="2:20" x14ac:dyDescent="0.45">
      <c r="B3" s="1"/>
      <c r="C3" s="1"/>
      <c r="D3" s="29">
        <v>0.2</v>
      </c>
      <c r="E3" s="30"/>
      <c r="F3" s="31">
        <v>0.16</v>
      </c>
      <c r="G3" s="30"/>
      <c r="H3" s="31">
        <v>0.1</v>
      </c>
      <c r="I3" s="30"/>
      <c r="J3" s="31">
        <v>0.08</v>
      </c>
      <c r="K3" s="30"/>
      <c r="L3" s="31">
        <v>0.05</v>
      </c>
      <c r="M3" s="30"/>
      <c r="N3" s="31">
        <v>0.04</v>
      </c>
      <c r="O3" s="30"/>
    </row>
    <row r="4" spans="2:20" x14ac:dyDescent="0.45">
      <c r="B4" s="13" t="s">
        <v>7</v>
      </c>
      <c r="C4" s="22">
        <v>10</v>
      </c>
      <c r="D4" s="8">
        <v>0.79800000000000004</v>
      </c>
      <c r="E4" s="9">
        <v>0.74099999999999999</v>
      </c>
      <c r="F4">
        <v>1.6619999999999999</v>
      </c>
      <c r="G4" s="9">
        <v>1.673</v>
      </c>
      <c r="H4">
        <v>9.7530000000000001</v>
      </c>
      <c r="I4" s="9">
        <v>9.4969999999999999</v>
      </c>
      <c r="J4">
        <v>22.928999999999998</v>
      </c>
      <c r="K4" s="9">
        <v>24.321000000000002</v>
      </c>
      <c r="L4">
        <v>126.46599999999999</v>
      </c>
      <c r="M4" s="9">
        <v>139.57300000000001</v>
      </c>
      <c r="N4">
        <v>318.46600000000001</v>
      </c>
      <c r="O4" s="9">
        <v>326.16500000000002</v>
      </c>
    </row>
    <row r="5" spans="2:20" ht="17.5" thickBot="1" x14ac:dyDescent="0.5">
      <c r="B5" s="13"/>
      <c r="C5" s="23"/>
      <c r="D5" s="8">
        <v>0.75</v>
      </c>
      <c r="E5" s="9">
        <v>0.69499999999999995</v>
      </c>
      <c r="F5">
        <v>1.6870000000000001</v>
      </c>
      <c r="G5" s="9">
        <v>1.9750000000000001</v>
      </c>
      <c r="H5">
        <v>10.366</v>
      </c>
      <c r="I5" s="9">
        <v>10.009</v>
      </c>
      <c r="J5">
        <v>23.937999999999999</v>
      </c>
      <c r="K5" s="9">
        <v>23.268999999999998</v>
      </c>
      <c r="L5">
        <v>144.11600000000001</v>
      </c>
      <c r="M5" s="9">
        <v>140.82400000000001</v>
      </c>
      <c r="N5">
        <v>321.346</v>
      </c>
      <c r="O5" s="9">
        <v>323.67599999999999</v>
      </c>
      <c r="Q5" s="6"/>
      <c r="R5" s="5"/>
      <c r="S5" s="5"/>
      <c r="T5" s="7"/>
    </row>
    <row r="6" spans="2:20" ht="17.5" thickBot="1" x14ac:dyDescent="0.5">
      <c r="B6" s="13"/>
      <c r="C6" s="24"/>
      <c r="D6" s="19">
        <f>AVERAGE(D4:E5)</f>
        <v>0.746</v>
      </c>
      <c r="E6" s="18"/>
      <c r="F6" s="19">
        <f t="shared" ref="F6" si="0">AVERAGE(F4:G5)</f>
        <v>1.74925</v>
      </c>
      <c r="G6" s="18"/>
      <c r="H6" s="19">
        <f t="shared" ref="H6" si="1">AVERAGE(H4:I5)</f>
        <v>9.90625</v>
      </c>
      <c r="I6" s="18"/>
      <c r="J6" s="19">
        <f t="shared" ref="J6" si="2">AVERAGE(J4:K5)</f>
        <v>23.614249999999998</v>
      </c>
      <c r="K6" s="18"/>
      <c r="L6" s="19">
        <f t="shared" ref="L6" si="3">AVERAGE(L4:M5)</f>
        <v>137.74475000000001</v>
      </c>
      <c r="M6" s="18"/>
      <c r="N6" s="19">
        <f t="shared" ref="N6" si="4">AVERAGE(N4:O5)</f>
        <v>322.41325000000001</v>
      </c>
      <c r="O6" s="18"/>
      <c r="Q6" s="8"/>
      <c r="R6" s="25"/>
      <c r="S6" s="25" t="s">
        <v>4</v>
      </c>
      <c r="T6" s="9"/>
    </row>
    <row r="7" spans="2:20" x14ac:dyDescent="0.45">
      <c r="B7" s="13"/>
      <c r="C7" s="14">
        <v>15</v>
      </c>
      <c r="D7" s="8">
        <v>0.97799999999999998</v>
      </c>
      <c r="E7" s="9">
        <v>1.093</v>
      </c>
      <c r="F7">
        <v>2.2400000000000002</v>
      </c>
      <c r="G7" s="10">
        <v>2.0979999999999999</v>
      </c>
      <c r="H7">
        <v>10.747</v>
      </c>
      <c r="I7" s="10">
        <v>10.853</v>
      </c>
      <c r="J7">
        <v>26.224</v>
      </c>
      <c r="K7" s="9">
        <v>28.553999999999998</v>
      </c>
      <c r="L7">
        <v>165.05</v>
      </c>
      <c r="M7" s="9">
        <v>160.05500000000001</v>
      </c>
      <c r="N7" s="36" t="s">
        <v>5</v>
      </c>
      <c r="O7" s="41" t="s">
        <v>5</v>
      </c>
      <c r="Q7" s="8"/>
      <c r="R7" s="25"/>
      <c r="S7" s="25"/>
      <c r="T7" s="9"/>
    </row>
    <row r="8" spans="2:20" ht="17.5" thickBot="1" x14ac:dyDescent="0.5">
      <c r="B8" s="13"/>
      <c r="C8" s="14"/>
      <c r="D8" s="8">
        <v>0.96799999999999997</v>
      </c>
      <c r="E8" s="9">
        <v>1.03</v>
      </c>
      <c r="F8">
        <v>2.0619999999999998</v>
      </c>
      <c r="G8" s="11">
        <v>2.1760000000000002</v>
      </c>
      <c r="H8">
        <v>11.295999999999999</v>
      </c>
      <c r="I8" s="11">
        <v>10.565</v>
      </c>
      <c r="J8">
        <v>28.201000000000001</v>
      </c>
      <c r="K8" s="9">
        <v>27.277000000000001</v>
      </c>
      <c r="L8">
        <v>159.93899999999999</v>
      </c>
      <c r="M8" s="9">
        <v>168.84399999999999</v>
      </c>
      <c r="N8" s="36" t="s">
        <v>5</v>
      </c>
      <c r="O8" s="41" t="s">
        <v>5</v>
      </c>
      <c r="Q8" s="8"/>
      <c r="R8" s="37" t="s">
        <v>5</v>
      </c>
      <c r="S8" s="25" t="s">
        <v>6</v>
      </c>
      <c r="T8" s="9"/>
    </row>
    <row r="9" spans="2:20" ht="17.5" thickBot="1" x14ac:dyDescent="0.5">
      <c r="B9" s="13"/>
      <c r="C9" s="13"/>
      <c r="D9" s="15">
        <f>AVERAGE(D7:E8)</f>
        <v>1.01725</v>
      </c>
      <c r="E9" s="16"/>
      <c r="F9" s="15">
        <f t="shared" ref="F9" si="5">AVERAGE(F7:G8)</f>
        <v>2.1440000000000001</v>
      </c>
      <c r="G9" s="16"/>
      <c r="H9" s="15">
        <f t="shared" ref="H9" si="6">AVERAGE(H7:I8)</f>
        <v>10.86525</v>
      </c>
      <c r="I9" s="16"/>
      <c r="J9" s="15">
        <f t="shared" ref="J9" si="7">AVERAGE(J7:K8)</f>
        <v>27.564</v>
      </c>
      <c r="K9" s="16"/>
      <c r="L9" s="15">
        <f t="shared" ref="L9" si="8">AVERAGE(L7:M8)</f>
        <v>163.47199999999998</v>
      </c>
      <c r="M9" s="32"/>
      <c r="N9" s="35" t="s">
        <v>5</v>
      </c>
      <c r="O9" s="17"/>
      <c r="Q9" s="8"/>
      <c r="R9" s="25"/>
      <c r="S9" s="25"/>
      <c r="T9" s="9"/>
    </row>
    <row r="10" spans="2:20" ht="17.5" thickBot="1" x14ac:dyDescent="0.5">
      <c r="B10" s="13"/>
      <c r="C10" s="14">
        <v>20</v>
      </c>
      <c r="D10" s="40" t="s">
        <v>5</v>
      </c>
      <c r="E10" s="41" t="s">
        <v>5</v>
      </c>
      <c r="F10">
        <v>3.4710000000000001</v>
      </c>
      <c r="G10" s="9">
        <v>2.8149999999999999</v>
      </c>
      <c r="H10">
        <v>15.298999999999999</v>
      </c>
      <c r="I10" s="9">
        <v>15.097</v>
      </c>
      <c r="J10">
        <v>30.489000000000001</v>
      </c>
      <c r="K10" s="9">
        <v>29.686</v>
      </c>
      <c r="L10" s="36" t="s">
        <v>5</v>
      </c>
      <c r="M10" s="41" t="s">
        <v>5</v>
      </c>
      <c r="N10" s="36" t="s">
        <v>5</v>
      </c>
      <c r="O10" s="41" t="s">
        <v>5</v>
      </c>
      <c r="Q10" s="8"/>
      <c r="R10" s="2"/>
      <c r="S10" s="25" t="s">
        <v>3</v>
      </c>
      <c r="T10" s="9"/>
    </row>
    <row r="11" spans="2:20" ht="17.5" thickBot="1" x14ac:dyDescent="0.5">
      <c r="B11" s="13"/>
      <c r="C11" s="14"/>
      <c r="D11" s="40" t="s">
        <v>5</v>
      </c>
      <c r="E11" s="41" t="s">
        <v>5</v>
      </c>
      <c r="F11">
        <v>2.9020000000000001</v>
      </c>
      <c r="G11" s="9">
        <v>2.734</v>
      </c>
      <c r="H11">
        <v>14.257</v>
      </c>
      <c r="I11" s="9">
        <v>15.497</v>
      </c>
      <c r="J11">
        <v>35.963999999999999</v>
      </c>
      <c r="K11" s="9">
        <v>34.377000000000002</v>
      </c>
      <c r="L11" s="36" t="s">
        <v>5</v>
      </c>
      <c r="M11" s="41" t="s">
        <v>5</v>
      </c>
      <c r="N11" s="36" t="s">
        <v>5</v>
      </c>
      <c r="O11" s="41" t="s">
        <v>5</v>
      </c>
      <c r="Q11" s="8"/>
      <c r="R11" s="25"/>
      <c r="S11" s="25"/>
      <c r="T11" s="9"/>
    </row>
    <row r="12" spans="2:20" ht="17.5" thickBot="1" x14ac:dyDescent="0.5">
      <c r="B12" s="13"/>
      <c r="C12" s="14"/>
      <c r="D12" s="20" t="s">
        <v>5</v>
      </c>
      <c r="E12" s="33"/>
      <c r="F12" s="15">
        <f>AVERAGE(F10:G11)</f>
        <v>2.9804999999999997</v>
      </c>
      <c r="G12" s="34"/>
      <c r="H12" s="15">
        <f t="shared" ref="H12" si="9">AVERAGE(H10:I11)</f>
        <v>15.0375</v>
      </c>
      <c r="I12" s="34"/>
      <c r="J12" s="15">
        <f t="shared" ref="J12" si="10">AVERAGE(J10:K11)</f>
        <v>32.628999999999998</v>
      </c>
      <c r="K12" s="34"/>
      <c r="L12" s="35" t="s">
        <v>5</v>
      </c>
      <c r="M12" s="17"/>
      <c r="N12" s="35" t="s">
        <v>5</v>
      </c>
      <c r="O12" s="17"/>
      <c r="Q12" s="8"/>
      <c r="R12" s="28"/>
      <c r="S12" s="25" t="s">
        <v>2</v>
      </c>
      <c r="T12" s="9"/>
    </row>
    <row r="13" spans="2:20" x14ac:dyDescent="0.45">
      <c r="B13" s="13"/>
      <c r="C13" s="21" t="s">
        <v>0</v>
      </c>
      <c r="D13" s="8">
        <v>1.4970000000000001</v>
      </c>
      <c r="E13" s="9">
        <v>1.429</v>
      </c>
      <c r="F13">
        <v>3.85</v>
      </c>
      <c r="G13" s="9">
        <v>3.0630000000000002</v>
      </c>
      <c r="H13">
        <v>15.351000000000001</v>
      </c>
      <c r="I13" s="9">
        <v>14.419</v>
      </c>
      <c r="J13">
        <v>35.097999999999999</v>
      </c>
      <c r="K13" s="9">
        <v>36.177</v>
      </c>
      <c r="L13">
        <v>174.619</v>
      </c>
      <c r="M13" s="9">
        <v>173.05699999999999</v>
      </c>
      <c r="N13">
        <v>382.51</v>
      </c>
      <c r="O13" s="9">
        <v>372.346</v>
      </c>
      <c r="Q13" s="8"/>
      <c r="R13" s="25"/>
      <c r="S13" s="25" t="s">
        <v>8</v>
      </c>
      <c r="T13" s="9"/>
    </row>
    <row r="14" spans="2:20" ht="17.5" thickBot="1" x14ac:dyDescent="0.5">
      <c r="B14" s="13"/>
      <c r="C14" s="38"/>
      <c r="D14" s="8">
        <v>1.5920000000000001</v>
      </c>
      <c r="E14" s="9">
        <v>1.22</v>
      </c>
      <c r="F14" s="25">
        <v>2.99</v>
      </c>
      <c r="G14" s="9">
        <v>3.0350000000000001</v>
      </c>
      <c r="H14" s="25">
        <v>17.370999999999999</v>
      </c>
      <c r="I14" s="9">
        <v>17.056999999999999</v>
      </c>
      <c r="J14" s="25">
        <v>37.938000000000002</v>
      </c>
      <c r="K14" s="9">
        <v>40.933999999999997</v>
      </c>
      <c r="L14" s="25">
        <v>191.24799999999999</v>
      </c>
      <c r="M14" s="9">
        <v>190.82400000000001</v>
      </c>
      <c r="N14" s="25">
        <v>376.54399999999998</v>
      </c>
      <c r="O14" s="9">
        <v>367.315</v>
      </c>
      <c r="Q14" s="3"/>
      <c r="R14" s="4"/>
      <c r="S14" s="4"/>
      <c r="T14" s="42"/>
    </row>
    <row r="15" spans="2:20" ht="17.5" thickBot="1" x14ac:dyDescent="0.5">
      <c r="B15" s="13"/>
      <c r="C15" s="39"/>
      <c r="D15" s="27">
        <v>18</v>
      </c>
      <c r="E15" s="12">
        <f>AVERAGE(D13:E14)</f>
        <v>1.4345000000000001</v>
      </c>
      <c r="F15" s="26">
        <v>21</v>
      </c>
      <c r="G15" s="12">
        <f>AVERAGE(F13:G14)</f>
        <v>3.2345000000000002</v>
      </c>
      <c r="H15" s="26">
        <v>21</v>
      </c>
      <c r="I15" s="12">
        <f>AVERAGE(H13:I14)</f>
        <v>16.049500000000002</v>
      </c>
      <c r="J15" s="26">
        <v>22</v>
      </c>
      <c r="K15" s="12">
        <f>AVERAGE(J13:K14)</f>
        <v>37.536749999999998</v>
      </c>
      <c r="L15" s="26">
        <v>17</v>
      </c>
      <c r="M15" s="12">
        <f>AVERAGE(L13:M14)</f>
        <v>182.43700000000001</v>
      </c>
      <c r="N15" s="26">
        <v>14</v>
      </c>
      <c r="O15" s="12">
        <f>AVERAGE(N13:O14)</f>
        <v>374.67875000000004</v>
      </c>
    </row>
  </sheetData>
  <mergeCells count="30">
    <mergeCell ref="C10:C12"/>
    <mergeCell ref="C7:C9"/>
    <mergeCell ref="F3:G3"/>
    <mergeCell ref="D3:E3"/>
    <mergeCell ref="C4:C6"/>
    <mergeCell ref="C13:C15"/>
    <mergeCell ref="N9:O9"/>
    <mergeCell ref="L9:M9"/>
    <mergeCell ref="D2:O2"/>
    <mergeCell ref="D12:E12"/>
    <mergeCell ref="D9:E9"/>
    <mergeCell ref="D6:E6"/>
    <mergeCell ref="F12:G12"/>
    <mergeCell ref="F9:G9"/>
    <mergeCell ref="N3:O3"/>
    <mergeCell ref="L3:M3"/>
    <mergeCell ref="J3:K3"/>
    <mergeCell ref="H3:I3"/>
    <mergeCell ref="B4:B15"/>
    <mergeCell ref="J9:K9"/>
    <mergeCell ref="H9:I9"/>
    <mergeCell ref="N12:O12"/>
    <mergeCell ref="L12:M12"/>
    <mergeCell ref="J12:K12"/>
    <mergeCell ref="H12:I12"/>
    <mergeCell ref="F6:G6"/>
    <mergeCell ref="N6:O6"/>
    <mergeCell ref="L6:M6"/>
    <mergeCell ref="J6:K6"/>
    <mergeCell ref="H6:I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정현 임</dc:creator>
  <cp:lastModifiedBy>정현 임</cp:lastModifiedBy>
  <dcterms:created xsi:type="dcterms:W3CDTF">2026-07-15T15:28:36Z</dcterms:created>
  <dcterms:modified xsi:type="dcterms:W3CDTF">2026-07-31T07:19:24Z</dcterms:modified>
</cp:coreProperties>
</file>